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OneDrive\Desktop\data analyst assignment-1\excel\"/>
    </mc:Choice>
  </mc:AlternateContent>
  <xr:revisionPtr revIDLastSave="0" documentId="8_{B908471D-EA93-4010-9B99-787A9D163605}" xr6:coauthVersionLast="47" xr6:coauthVersionMax="47" xr10:uidLastSave="{00000000-0000-0000-0000-000000000000}"/>
  <bookViews>
    <workbookView xWindow="-103" yWindow="-103" windowWidth="22149" windowHeight="13200" xr2:uid="{DA46176B-41E7-41B6-A7A3-1390F3600817}"/>
  </bookViews>
  <sheets>
    <sheet name="ticket" sheetId="1" r:id="rId1"/>
    <sheet name="feedbacks" sheetId="2" r:id="rId2"/>
    <sheet name="Analysis" sheetId="3" r:id="rId3"/>
  </sheet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2" i="3"/>
  <c r="B3" i="3"/>
  <c r="B2" i="3"/>
  <c r="G16" i="1"/>
  <c r="G4" i="1"/>
  <c r="G3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2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9" i="2"/>
  <c r="D8" i="2"/>
  <c r="D7" i="2"/>
  <c r="D6" i="2"/>
  <c r="D5" i="2"/>
  <c r="D3" i="2"/>
  <c r="D4" i="2"/>
  <c r="D2" i="2"/>
</calcChain>
</file>

<file path=xl/sharedStrings.xml><?xml version="1.0" encoding="utf-8"?>
<sst xmlns="http://schemas.openxmlformats.org/spreadsheetml/2006/main" count="96" uniqueCount="68">
  <si>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</si>
  <si>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</si>
  <si>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</si>
  <si>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</si>
  <si>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</si>
  <si>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</si>
  <si>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</si>
  <si>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</si>
  <si>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</si>
  <si>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</si>
  <si>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isu-sjd-458</t>
  </si>
  <si>
    <t>wrqy-juv-979</t>
  </si>
  <si>
    <t>vew-iuvd-13</t>
  </si>
  <si>
    <t>isu-sjd-459</t>
  </si>
  <si>
    <t>wrqy-juv-980</t>
  </si>
  <si>
    <t>vew-iuvd-14</t>
  </si>
  <si>
    <t>isu-sjd-460</t>
  </si>
  <si>
    <t>wrqy-juv-981</t>
  </si>
  <si>
    <t>vew-iuvd-15</t>
  </si>
  <si>
    <t>isu-sjd-461</t>
  </si>
  <si>
    <t>wrqy-juv-982</t>
  </si>
  <si>
    <t>vew-iuvd-16</t>
  </si>
  <si>
    <t>isu-sjd-462</t>
  </si>
  <si>
    <t>wrqy-juv-983</t>
  </si>
  <si>
    <t>vew-iuvd-17</t>
  </si>
  <si>
    <t>isu-sjd-463</t>
  </si>
  <si>
    <t>wrqy-juv-984</t>
  </si>
  <si>
    <t>vew-iuvd-18</t>
  </si>
  <si>
    <t>isu-sjd-464</t>
  </si>
  <si>
    <t>wrqy-juv-985</t>
  </si>
  <si>
    <t>vew-iuvd-19</t>
  </si>
  <si>
    <t>isu-sjd-465</t>
  </si>
  <si>
    <t>wrqy-juv-986</t>
  </si>
  <si>
    <t>vew-iuvd-20</t>
  </si>
  <si>
    <t>isu-sjd-466</t>
  </si>
  <si>
    <t>wrqy-juv-987</t>
  </si>
  <si>
    <t>vew-iuvd-21</t>
  </si>
  <si>
    <t>isu-sjd-467</t>
  </si>
  <si>
    <t>wrqy-juv-988</t>
  </si>
  <si>
    <t>vew-iuvd-22</t>
  </si>
  <si>
    <t>isu-sjd-468</t>
  </si>
  <si>
    <t>wrqy-juv-989</t>
  </si>
  <si>
    <t>vew-iuvd-23</t>
  </si>
  <si>
    <t>isu-sjd-469</t>
  </si>
  <si>
    <t>wrqy-juv-990</t>
  </si>
  <si>
    <t>vew-iuvd-24</t>
  </si>
  <si>
    <t>isu-sjd-470</t>
  </si>
  <si>
    <t>wrqy-juv-991</t>
  </si>
  <si>
    <t>vew-iuvd-25</t>
  </si>
  <si>
    <t>isu-sjd-471</t>
  </si>
  <si>
    <t>wrqy-juv-992</t>
  </si>
  <si>
    <t>vew-iuvd-26</t>
  </si>
  <si>
    <t>isu-sjd-472</t>
  </si>
  <si>
    <t>wrqy-juv-993</t>
  </si>
  <si>
    <t>vew-iuvd-27</t>
  </si>
  <si>
    <t>feedback_at</t>
  </si>
  <si>
    <t>feedback_rating</t>
  </si>
  <si>
    <t>ticket_created_at</t>
  </si>
  <si>
    <t>Same_Day</t>
  </si>
  <si>
    <t>Same_Hour</t>
  </si>
  <si>
    <t>Closed same day (count)</t>
  </si>
  <si>
    <t>Closed same hour (count)</t>
  </si>
  <si>
    <t>wrqy-juv-9788</t>
  </si>
  <si>
    <t>woh-k3u-23b</t>
  </si>
  <si>
    <t>Row Labels</t>
  </si>
  <si>
    <t>Grand Total</t>
  </si>
  <si>
    <t>Count of Same_Day</t>
  </si>
  <si>
    <t>Count of Same_Hour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</si>
</sst>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/>
    <xf numFmtId="22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hya Durgpapu" refreshedDate="45993.914313078705" createdVersion="8" refreshedVersion="8" minRefreshableVersion="3" recordCount="17" xr:uid="{CA9B53BF-0506-43EA-9768-5964169775CE}">
  <cacheSource type="worksheet">
    <worksheetSource ref="A1:G18" sheet="ticket"/>
  </cacheSource>
  <cacheFields count="7">
    <cacheField name="ticket_id" numFmtId="0">
      <sharedItems/>
    </cacheField>
    <cacheField name="created_at" numFmtId="22">
      <sharedItems containsSemiMixedTypes="0" containsNonDate="0" containsDate="1" containsString="0" minDate="2021-08-19T16:45:43" maxDate="2021-08-24T12:15:10"/>
    </cacheField>
    <cacheField name="closed_at" numFmtId="22">
      <sharedItems containsSemiMixedTypes="0" containsNonDate="0" containsDate="1" containsString="0" minDate="2021-08-21T16:55:12" maxDate="2021-08-25T11:20:15"/>
    </cacheField>
    <cacheField name="outlet_id" numFmtId="0">
      <sharedItems count="17">
        <s v="wrqy-juv-978"/>
        <s v="8woh-k3u-23b"/>
        <s v="wrqy-juv-979"/>
        <s v="wrqy-juv-980"/>
        <s v="wrqy-juv-981"/>
        <s v="wrqy-juv-982"/>
        <s v="wrqy-juv-983"/>
        <s v="wrqy-juv-984"/>
        <s v="wrqy-juv-985"/>
        <s v="wrqy-juv-986"/>
        <s v="wrqy-juv-987"/>
        <s v="wrqy-juv-988"/>
        <s v="wrqy-juv-989"/>
        <s v="wrqy-juv-990"/>
        <s v="wrqy-juv-991"/>
        <s v="wrqy-juv-992"/>
        <s v="wrqy-juv-993"/>
      </sharedItems>
    </cacheField>
    <cacheField name="cms_id" numFmtId="0">
      <sharedItems/>
    </cacheField>
    <cacheField name="Same_Day" numFmtId="0">
      <sharedItems/>
    </cacheField>
    <cacheField name="Same_Hou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isu-sjd-457"/>
    <d v="2021-08-19T16:45:43"/>
    <d v="2021-08-22T12:33:32"/>
    <x v="0"/>
    <s v="vew-iuvd-12"/>
    <s v="No"/>
    <s v="No"/>
  </r>
  <r>
    <s v="qer-fal-092"/>
    <d v="2021-08-21T11:09:22"/>
    <d v="2021-08-21T17:13:45"/>
    <x v="1"/>
    <s v="vew-iuvd-12"/>
    <s v="Yes"/>
    <s v="No"/>
  </r>
  <r>
    <s v="isu-sjd-458"/>
    <d v="2021-08-20T09:15:10"/>
    <d v="2021-08-22T10:20:45"/>
    <x v="2"/>
    <s v="vew-iuvd-13"/>
    <s v="No"/>
    <s v="No"/>
  </r>
  <r>
    <s v="isu-sjd-459"/>
    <d v="2021-08-20T14:30:25"/>
    <d v="2021-08-21T16:55:12"/>
    <x v="3"/>
    <s v="vew-iuvd-14"/>
    <s v="No"/>
    <s v="No"/>
  </r>
  <r>
    <s v="isu-sjd-460"/>
    <d v="2021-08-21T08:05:55"/>
    <d v="2021-08-23T12:15:35"/>
    <x v="4"/>
    <s v="vew-iuvd-15"/>
    <s v="No"/>
    <s v="No"/>
  </r>
  <r>
    <s v="isu-sjd-461"/>
    <d v="2021-08-21T10:25:40"/>
    <d v="2021-08-21T18:45:50"/>
    <x v="5"/>
    <s v="vew-iuvd-16"/>
    <s v="Yes"/>
    <s v="No"/>
  </r>
  <r>
    <s v="isu-sjd-462"/>
    <d v="2021-08-21T12:40:00"/>
    <d v="2021-08-22T09:30:22"/>
    <x v="6"/>
    <s v="vew-iuvd-17"/>
    <s v="No"/>
    <s v="No"/>
  </r>
  <r>
    <s v="isu-sjd-463"/>
    <d v="2021-08-22T07:55:15"/>
    <d v="2021-08-22T15:40:30"/>
    <x v="7"/>
    <s v="vew-iuvd-18"/>
    <s v="Yes"/>
    <s v="No"/>
  </r>
  <r>
    <s v="isu-sjd-464"/>
    <d v="2021-08-22T09:20:05"/>
    <d v="2021-08-23T11:05:10"/>
    <x v="8"/>
    <s v="vew-iuvd-19"/>
    <s v="No"/>
    <s v="No"/>
  </r>
  <r>
    <s v="isu-sjd-465"/>
    <d v="2021-08-22T11:45:25"/>
    <d v="2021-08-22T17:55:42"/>
    <x v="9"/>
    <s v="vew-iuvd-20"/>
    <s v="Yes"/>
    <s v="No"/>
  </r>
  <r>
    <s v="isu-sjd-466"/>
    <d v="2021-08-23T08:10:12"/>
    <d v="2021-08-23T14:35:50"/>
    <x v="10"/>
    <s v="vew-iuvd-21"/>
    <s v="Yes"/>
    <s v="No"/>
  </r>
  <r>
    <s v="isu-sjd-467"/>
    <d v="2021-08-23T09:35:40"/>
    <d v="2021-08-24T10:50:25"/>
    <x v="11"/>
    <s v="vew-iuvd-22"/>
    <s v="No"/>
    <s v="No"/>
  </r>
  <r>
    <s v="isu-sjd-468"/>
    <d v="2021-08-23T11:50:55"/>
    <d v="2021-08-23T18:05:15"/>
    <x v="12"/>
    <s v="vew-iuvd-23"/>
    <s v="Yes"/>
    <s v="No"/>
  </r>
  <r>
    <s v="isu-sjd-469"/>
    <d v="2021-08-23T13:20:30"/>
    <d v="2021-08-24T09:15:10"/>
    <x v="13"/>
    <s v="vew-iuvd-24"/>
    <s v="No"/>
    <s v="No"/>
  </r>
  <r>
    <s v="isu-sjd-470"/>
    <d v="2021-08-24T07:45:20"/>
    <d v="2021-08-24T16:10:55"/>
    <x v="14"/>
    <s v="vew-iuvd-25"/>
    <s v="Yes"/>
    <s v="No"/>
  </r>
  <r>
    <s v="isu-sjd-471"/>
    <d v="2021-08-24T10:05:45"/>
    <d v="2021-08-24T17:30:40"/>
    <x v="15"/>
    <s v="vew-iuvd-26"/>
    <s v="Yes"/>
    <s v="No"/>
  </r>
  <r>
    <s v="isu-sjd-472"/>
    <d v="2021-08-24T12:15:10"/>
    <d v="2021-08-25T11:20:15"/>
    <x v="16"/>
    <s v="vew-iuvd-27"/>
    <s v="No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22EAA-6C06-440B-81AD-2022F22A6719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J20" firstHeaderRow="0" firstDataRow="1" firstDataCol="1"/>
  <pivotFields count="7">
    <pivotField showAll="0"/>
    <pivotField numFmtId="22" showAll="0"/>
    <pivotField numFmtId="22" showAll="0"/>
    <pivotField axis="axisRow" showAll="0">
      <items count="18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dataField="1" showAll="0"/>
    <pivotField dataField="1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me_Day" fld="5" subtotal="count" baseField="0" baseItem="0"/>
    <dataField name="Count of Same_Hour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C3A8-C54C-4137-A0D5-1FBB1EF786A2}">
  <dimension ref="A1:J20"/>
  <sheetViews>
    <sheetView tabSelected="1" workbookViewId="0">
      <selection activeCell="H2" sqref="H2"/>
    </sheetView>
  </sheetViews>
  <sheetFormatPr defaultRowHeight="14.6" x14ac:dyDescent="0.4"/>
  <cols>
    <col min="1" max="1" width="9.84375" bestFit="1" customWidth="1"/>
    <col min="2" max="3" width="15.15234375" bestFit="1" customWidth="1"/>
    <col min="4" max="4" width="12.765625" bestFit="1" customWidth="1"/>
    <col min="5" max="5" width="11" bestFit="1" customWidth="1"/>
    <col min="6" max="6" width="9.3828125" bestFit="1" customWidth="1"/>
    <col min="7" max="7" width="10.3828125" bestFit="1" customWidth="1"/>
    <col min="8" max="8" width="12.765625" bestFit="1" customWidth="1"/>
    <col min="9" max="9" width="17.3046875" bestFit="1" customWidth="1"/>
    <col min="10" max="10" width="18.23046875" bestFit="1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58</v>
      </c>
      <c r="G1" t="s">
        <v>59</v>
      </c>
      <c r="H1" s="1"/>
    </row>
    <row r="2" spans="1:10" x14ac:dyDescent="0.4">
      <c r="A2" s="1" t="s">
        <v>5</v>
      </c>
      <c r="B2" s="3">
        <v>44427.698414351849</v>
      </c>
      <c r="C2" s="3">
        <v>44430.523287037038</v>
      </c>
      <c r="D2" s="1" t="s">
        <v>6</v>
      </c>
      <c r="E2" s="1" t="s">
        <v>7</v>
      </c>
      <c r="F2" t="str">
        <f>IF(INT(B2)=INT(C2), "Yes", "No")</f>
        <v>No</v>
      </c>
      <c r="G2" t="str">
        <f>IF(AND(INT(B2)=INT(C2), HOUR(B2)=HOUR(C2)), "Yes", "No")</f>
        <v>No</v>
      </c>
      <c r="H2" s="4" t="s">
        <v>64</v>
      </c>
      <c r="I2" t="s">
        <v>66</v>
      </c>
      <c r="J2" t="s">
        <v>67</v>
      </c>
    </row>
    <row r="3" spans="1:10" ht="29.15" x14ac:dyDescent="0.4">
      <c r="A3" s="1" t="s">
        <v>8</v>
      </c>
      <c r="B3" s="3">
        <v>44429.464837962965</v>
      </c>
      <c r="C3" s="3">
        <v>44429.717881944445</v>
      </c>
      <c r="D3" s="1" t="s">
        <v>9</v>
      </c>
      <c r="E3" s="1" t="s">
        <v>7</v>
      </c>
      <c r="F3" t="str">
        <f>IF(INT(B3)=INT(C3), "Yes", "No")</f>
        <v>Yes</v>
      </c>
      <c r="G3" t="str">
        <f t="shared" ref="G3:G18" si="0">IF(AND(INT(B3)=INT(C3), HOUR(B3)=HOUR(C3)), "Yes", "No")</f>
        <v>No</v>
      </c>
      <c r="H3" s="5" t="s">
        <v>9</v>
      </c>
      <c r="I3" s="6">
        <v>1</v>
      </c>
      <c r="J3" s="6">
        <v>1</v>
      </c>
    </row>
    <row r="4" spans="1:10" x14ac:dyDescent="0.4">
      <c r="A4" t="s">
        <v>10</v>
      </c>
      <c r="B4" s="2">
        <v>44428.38553240741</v>
      </c>
      <c r="C4" s="2">
        <v>44430.431076388886</v>
      </c>
      <c r="D4" t="s">
        <v>11</v>
      </c>
      <c r="E4" t="s">
        <v>12</v>
      </c>
      <c r="F4" t="str">
        <f>IF(INT(B4)=INT(C4), "Yes", "No")</f>
        <v>No</v>
      </c>
      <c r="G4" t="str">
        <f>IF(AND(INT(B4)=INT(C4), HOUR(B4)=HOUR(C4)), "Yes", "No")</f>
        <v>No</v>
      </c>
      <c r="H4" s="5" t="s">
        <v>6</v>
      </c>
      <c r="I4" s="6">
        <v>1</v>
      </c>
      <c r="J4" s="6">
        <v>1</v>
      </c>
    </row>
    <row r="5" spans="1:10" x14ac:dyDescent="0.4">
      <c r="A5" t="s">
        <v>13</v>
      </c>
      <c r="B5" s="2">
        <v>44428.604456018518</v>
      </c>
      <c r="C5" s="2">
        <v>44429.705000000002</v>
      </c>
      <c r="D5" t="s">
        <v>14</v>
      </c>
      <c r="E5" t="s">
        <v>15</v>
      </c>
      <c r="F5" t="str">
        <f>IF(INT(B5)=INT(C5), "Yes", "No")</f>
        <v>No</v>
      </c>
      <c r="G5" t="str">
        <f t="shared" si="0"/>
        <v>No</v>
      </c>
      <c r="H5" s="5" t="s">
        <v>11</v>
      </c>
      <c r="I5" s="6">
        <v>1</v>
      </c>
      <c r="J5" s="6">
        <v>1</v>
      </c>
    </row>
    <row r="6" spans="1:10" x14ac:dyDescent="0.4">
      <c r="A6" t="s">
        <v>16</v>
      </c>
      <c r="B6" s="2">
        <v>44429.337442129632</v>
      </c>
      <c r="C6" s="2">
        <v>44431.510821759257</v>
      </c>
      <c r="D6" t="s">
        <v>17</v>
      </c>
      <c r="E6" t="s">
        <v>18</v>
      </c>
      <c r="F6" t="str">
        <f>IF(INT(B6)=INT(C6), "Yes", "No")</f>
        <v>No</v>
      </c>
      <c r="G6" t="str">
        <f t="shared" si="0"/>
        <v>No</v>
      </c>
      <c r="H6" s="5" t="s">
        <v>14</v>
      </c>
      <c r="I6" s="6">
        <v>1</v>
      </c>
      <c r="J6" s="6">
        <v>1</v>
      </c>
    </row>
    <row r="7" spans="1:10" x14ac:dyDescent="0.4">
      <c r="A7" t="s">
        <v>19</v>
      </c>
      <c r="B7" s="2">
        <v>44429.434490740743</v>
      </c>
      <c r="C7" s="2">
        <v>44429.781828703701</v>
      </c>
      <c r="D7" t="s">
        <v>20</v>
      </c>
      <c r="E7" t="s">
        <v>21</v>
      </c>
      <c r="F7" t="str">
        <f>IF(INT(B7)=INT(C7), "Yes", "No")</f>
        <v>Yes</v>
      </c>
      <c r="G7" t="str">
        <f t="shared" si="0"/>
        <v>No</v>
      </c>
      <c r="H7" s="5" t="s">
        <v>17</v>
      </c>
      <c r="I7" s="6">
        <v>1</v>
      </c>
      <c r="J7" s="6">
        <v>1</v>
      </c>
    </row>
    <row r="8" spans="1:10" x14ac:dyDescent="0.4">
      <c r="A8" t="s">
        <v>22</v>
      </c>
      <c r="B8" s="2">
        <v>44429.527777777781</v>
      </c>
      <c r="C8" s="2">
        <v>44430.396087962959</v>
      </c>
      <c r="D8" t="s">
        <v>23</v>
      </c>
      <c r="E8" t="s">
        <v>24</v>
      </c>
      <c r="F8" t="str">
        <f>IF(INT(B8)=INT(C8), "Yes", "No")</f>
        <v>No</v>
      </c>
      <c r="G8" t="str">
        <f t="shared" si="0"/>
        <v>No</v>
      </c>
      <c r="H8" s="5" t="s">
        <v>20</v>
      </c>
      <c r="I8" s="6">
        <v>1</v>
      </c>
      <c r="J8" s="6">
        <v>1</v>
      </c>
    </row>
    <row r="9" spans="1:10" x14ac:dyDescent="0.4">
      <c r="A9" t="s">
        <v>25</v>
      </c>
      <c r="B9" s="2">
        <v>44430.330034722225</v>
      </c>
      <c r="C9" s="2">
        <v>44430.653124999997</v>
      </c>
      <c r="D9" t="s">
        <v>26</v>
      </c>
      <c r="E9" t="s">
        <v>27</v>
      </c>
      <c r="F9" t="str">
        <f>IF(INT(B9)=INT(C9), "Yes", "No")</f>
        <v>Yes</v>
      </c>
      <c r="G9" t="str">
        <f t="shared" si="0"/>
        <v>No</v>
      </c>
      <c r="H9" s="5" t="s">
        <v>23</v>
      </c>
      <c r="I9" s="6">
        <v>1</v>
      </c>
      <c r="J9" s="6">
        <v>1</v>
      </c>
    </row>
    <row r="10" spans="1:10" x14ac:dyDescent="0.4">
      <c r="A10" t="s">
        <v>28</v>
      </c>
      <c r="B10" s="2">
        <v>44430.38894675926</v>
      </c>
      <c r="C10" s="2">
        <v>44431.461921296293</v>
      </c>
      <c r="D10" t="s">
        <v>29</v>
      </c>
      <c r="E10" t="s">
        <v>30</v>
      </c>
      <c r="F10" t="str">
        <f>IF(INT(B10)=INT(C10), "Yes", "No")</f>
        <v>No</v>
      </c>
      <c r="G10" t="str">
        <f t="shared" si="0"/>
        <v>No</v>
      </c>
      <c r="H10" s="5" t="s">
        <v>26</v>
      </c>
      <c r="I10" s="6">
        <v>1</v>
      </c>
      <c r="J10" s="6">
        <v>1</v>
      </c>
    </row>
    <row r="11" spans="1:10" x14ac:dyDescent="0.4">
      <c r="A11" t="s">
        <v>31</v>
      </c>
      <c r="B11" s="2">
        <v>44430.489872685182</v>
      </c>
      <c r="C11" s="2">
        <v>44430.747013888889</v>
      </c>
      <c r="D11" t="s">
        <v>32</v>
      </c>
      <c r="E11" t="s">
        <v>33</v>
      </c>
      <c r="F11" t="str">
        <f>IF(INT(B11)=INT(C11), "Yes", "No")</f>
        <v>Yes</v>
      </c>
      <c r="G11" t="str">
        <f t="shared" si="0"/>
        <v>No</v>
      </c>
      <c r="H11" s="5" t="s">
        <v>29</v>
      </c>
      <c r="I11" s="6">
        <v>1</v>
      </c>
      <c r="J11" s="6">
        <v>1</v>
      </c>
    </row>
    <row r="12" spans="1:10" x14ac:dyDescent="0.4">
      <c r="A12" t="s">
        <v>34</v>
      </c>
      <c r="B12" s="2">
        <v>44431.340416666666</v>
      </c>
      <c r="C12" s="2">
        <v>44431.608217592591</v>
      </c>
      <c r="D12" t="s">
        <v>35</v>
      </c>
      <c r="E12" t="s">
        <v>36</v>
      </c>
      <c r="F12" t="str">
        <f>IF(INT(B12)=INT(C12), "Yes", "No")</f>
        <v>Yes</v>
      </c>
      <c r="G12" t="str">
        <f t="shared" si="0"/>
        <v>No</v>
      </c>
      <c r="H12" s="5" t="s">
        <v>32</v>
      </c>
      <c r="I12" s="6">
        <v>1</v>
      </c>
      <c r="J12" s="6">
        <v>1</v>
      </c>
    </row>
    <row r="13" spans="1:10" x14ac:dyDescent="0.4">
      <c r="A13" t="s">
        <v>37</v>
      </c>
      <c r="B13" s="2">
        <v>44431.399768518517</v>
      </c>
      <c r="C13" s="2">
        <v>44432.451678240737</v>
      </c>
      <c r="D13" t="s">
        <v>38</v>
      </c>
      <c r="E13" t="s">
        <v>39</v>
      </c>
      <c r="F13" t="str">
        <f>IF(INT(B13)=INT(C13), "Yes", "No")</f>
        <v>No</v>
      </c>
      <c r="G13" t="str">
        <f t="shared" si="0"/>
        <v>No</v>
      </c>
      <c r="H13" s="5" t="s">
        <v>35</v>
      </c>
      <c r="I13" s="6">
        <v>1</v>
      </c>
      <c r="J13" s="6">
        <v>1</v>
      </c>
    </row>
    <row r="14" spans="1:10" x14ac:dyDescent="0.4">
      <c r="A14" t="s">
        <v>40</v>
      </c>
      <c r="B14" s="2">
        <v>44431.493692129632</v>
      </c>
      <c r="C14" s="2">
        <v>44431.753645833334</v>
      </c>
      <c r="D14" t="s">
        <v>41</v>
      </c>
      <c r="E14" t="s">
        <v>42</v>
      </c>
      <c r="F14" t="str">
        <f>IF(INT(B14)=INT(C14), "Yes", "No")</f>
        <v>Yes</v>
      </c>
      <c r="G14" t="str">
        <f t="shared" si="0"/>
        <v>No</v>
      </c>
      <c r="H14" s="5" t="s">
        <v>38</v>
      </c>
      <c r="I14" s="6">
        <v>1</v>
      </c>
      <c r="J14" s="6">
        <v>1</v>
      </c>
    </row>
    <row r="15" spans="1:10" x14ac:dyDescent="0.4">
      <c r="A15" t="s">
        <v>43</v>
      </c>
      <c r="B15" s="2">
        <v>44431.555902777778</v>
      </c>
      <c r="C15" s="2">
        <v>44432.38553240741</v>
      </c>
      <c r="D15" t="s">
        <v>44</v>
      </c>
      <c r="E15" t="s">
        <v>45</v>
      </c>
      <c r="F15" t="str">
        <f>IF(INT(B15)=INT(C15), "Yes", "No")</f>
        <v>No</v>
      </c>
      <c r="G15" t="str">
        <f t="shared" si="0"/>
        <v>No</v>
      </c>
      <c r="H15" s="5" t="s">
        <v>41</v>
      </c>
      <c r="I15" s="6">
        <v>1</v>
      </c>
      <c r="J15" s="6">
        <v>1</v>
      </c>
    </row>
    <row r="16" spans="1:10" x14ac:dyDescent="0.4">
      <c r="A16" t="s">
        <v>46</v>
      </c>
      <c r="B16" s="2">
        <v>44432.323148148149</v>
      </c>
      <c r="C16" s="2">
        <v>44432.674247685187</v>
      </c>
      <c r="D16" t="s">
        <v>47</v>
      </c>
      <c r="E16" t="s">
        <v>48</v>
      </c>
      <c r="F16" t="str">
        <f>IF(INT(B16)=INT(C16), "Yes", "No")</f>
        <v>Yes</v>
      </c>
      <c r="G16" t="str">
        <f t="shared" si="0"/>
        <v>No</v>
      </c>
      <c r="H16" s="5" t="s">
        <v>44</v>
      </c>
      <c r="I16" s="6">
        <v>1</v>
      </c>
      <c r="J16" s="6">
        <v>1</v>
      </c>
    </row>
    <row r="17" spans="1:10" x14ac:dyDescent="0.4">
      <c r="A17" t="s">
        <v>49</v>
      </c>
      <c r="B17" s="2">
        <v>44432.420659722222</v>
      </c>
      <c r="C17" s="2">
        <v>44432.729629629626</v>
      </c>
      <c r="D17" t="s">
        <v>50</v>
      </c>
      <c r="E17" t="s">
        <v>51</v>
      </c>
      <c r="F17" t="str">
        <f>IF(INT(B17)=INT(C17), "Yes", "No")</f>
        <v>Yes</v>
      </c>
      <c r="G17" t="str">
        <f t="shared" si="0"/>
        <v>No</v>
      </c>
      <c r="H17" s="5" t="s">
        <v>47</v>
      </c>
      <c r="I17" s="6">
        <v>1</v>
      </c>
      <c r="J17" s="6">
        <v>1</v>
      </c>
    </row>
    <row r="18" spans="1:10" x14ac:dyDescent="0.4">
      <c r="A18" t="s">
        <v>52</v>
      </c>
      <c r="B18" s="2">
        <v>44432.51053240741</v>
      </c>
      <c r="C18" s="2">
        <v>44433.472395833334</v>
      </c>
      <c r="D18" t="s">
        <v>53</v>
      </c>
      <c r="E18" t="s">
        <v>54</v>
      </c>
      <c r="F18" t="str">
        <f>IF(INT(B18)=INT(C18), "Yes", "No")</f>
        <v>No</v>
      </c>
      <c r="G18" t="str">
        <f t="shared" si="0"/>
        <v>No</v>
      </c>
      <c r="H18" s="5" t="s">
        <v>50</v>
      </c>
      <c r="I18" s="6">
        <v>1</v>
      </c>
      <c r="J18" s="6">
        <v>1</v>
      </c>
    </row>
    <row r="19" spans="1:10" x14ac:dyDescent="0.4">
      <c r="H19" s="5" t="s">
        <v>53</v>
      </c>
      <c r="I19" s="6">
        <v>1</v>
      </c>
      <c r="J19" s="6">
        <v>1</v>
      </c>
    </row>
    <row r="20" spans="1:10" x14ac:dyDescent="0.4">
      <c r="H20" s="5" t="s">
        <v>65</v>
      </c>
      <c r="I20" s="6">
        <v>17</v>
      </c>
      <c r="J20" s="6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9DEA-10C8-4590-A2FE-F2CC0B359B6D}">
  <dimension ref="A1:D9"/>
  <sheetViews>
    <sheetView workbookViewId="0">
      <selection activeCell="D10" sqref="D10"/>
    </sheetView>
  </sheetViews>
  <sheetFormatPr defaultRowHeight="14.6" x14ac:dyDescent="0.4"/>
  <cols>
    <col min="1" max="1" width="11" bestFit="1" customWidth="1"/>
    <col min="2" max="2" width="15.15234375" bestFit="1" customWidth="1"/>
    <col min="3" max="3" width="14.15234375" bestFit="1" customWidth="1"/>
    <col min="4" max="4" width="15.3828125" bestFit="1" customWidth="1"/>
  </cols>
  <sheetData>
    <row r="1" spans="1:4" x14ac:dyDescent="0.4">
      <c r="A1" t="s">
        <v>4</v>
      </c>
      <c r="B1" t="s">
        <v>55</v>
      </c>
      <c r="C1" t="s">
        <v>56</v>
      </c>
      <c r="D1" t="s">
        <v>57</v>
      </c>
    </row>
    <row r="2" spans="1:4" x14ac:dyDescent="0.4">
      <c r="A2" t="s">
        <v>7</v>
      </c>
      <c r="B2" s="2">
        <v>44429.560277777775</v>
      </c>
      <c r="C2">
        <v>3</v>
      </c>
      <c r="D2">
        <f>_xlfn.XLOOKUP(A2, ticket!E:E, ticket!B:B, "Not Found")</f>
        <v>44427.698414351849</v>
      </c>
    </row>
    <row r="3" spans="1:4" x14ac:dyDescent="0.4">
      <c r="A3" t="s">
        <v>12</v>
      </c>
      <c r="B3" s="2">
        <v>44430.694699074076</v>
      </c>
      <c r="C3">
        <v>5</v>
      </c>
      <c r="D3">
        <f>_xlfn.XLOOKUP(A3, ticket!E:E, ticket!B:B, "Not Found")</f>
        <v>44428.38553240741</v>
      </c>
    </row>
    <row r="4" spans="1:4" x14ac:dyDescent="0.4">
      <c r="A4" t="s">
        <v>15</v>
      </c>
      <c r="B4" s="2">
        <v>44431.503587962965</v>
      </c>
      <c r="C4">
        <v>4</v>
      </c>
      <c r="D4">
        <f>_xlfn.XLOOKUP(A4, ticket!E:E, ticket!B:B, "Not Found")</f>
        <v>44428.604456018518</v>
      </c>
    </row>
    <row r="5" spans="1:4" x14ac:dyDescent="0.4">
      <c r="A5" t="s">
        <v>18</v>
      </c>
      <c r="B5" s="2">
        <v>44431.597569444442</v>
      </c>
      <c r="C5">
        <v>2</v>
      </c>
      <c r="D5">
        <f>_xlfn.XLOOKUP(A5, ticket!E:E, ticket!B:B, "Not Found")</f>
        <v>44429.337442129632</v>
      </c>
    </row>
    <row r="6" spans="1:4" x14ac:dyDescent="0.4">
      <c r="A6" t="s">
        <v>21</v>
      </c>
      <c r="B6" s="2">
        <v>44432.385937500003</v>
      </c>
      <c r="C6">
        <v>5</v>
      </c>
      <c r="D6">
        <f>_xlfn.XLOOKUP(A6, ticket!E:E, ticket!B:B, "Not Found")</f>
        <v>44429.434490740743</v>
      </c>
    </row>
    <row r="7" spans="1:4" x14ac:dyDescent="0.4">
      <c r="A7" t="s">
        <v>24</v>
      </c>
      <c r="B7" s="2">
        <v>44432.482777777775</v>
      </c>
      <c r="C7">
        <v>3</v>
      </c>
      <c r="D7">
        <f>_xlfn.XLOOKUP(A7, ticket!E:E, ticket!B:B, "Not Found")</f>
        <v>44429.527777777781</v>
      </c>
    </row>
    <row r="8" spans="1:4" x14ac:dyDescent="0.4">
      <c r="A8" t="s">
        <v>27</v>
      </c>
      <c r="B8" s="2">
        <v>44432.660011574073</v>
      </c>
      <c r="C8">
        <v>4</v>
      </c>
      <c r="D8">
        <f>_xlfn.XLOOKUP(A8, ticket!E:E, ticket!B:B, "Not Found")</f>
        <v>44430.330034722225</v>
      </c>
    </row>
    <row r="9" spans="1:4" x14ac:dyDescent="0.4">
      <c r="A9" t="s">
        <v>30</v>
      </c>
      <c r="B9" s="2">
        <v>44433.337384259263</v>
      </c>
      <c r="C9">
        <v>1</v>
      </c>
      <c r="D9">
        <f>_xlfn.XLOOKUP(A9, ticket!E:E, ticket!B:B, "Not Found")</f>
        <v>44430.38894675926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1585-87BB-49F7-9B10-C55F1A334A45}">
  <dimension ref="A1:C3"/>
  <sheetViews>
    <sheetView workbookViewId="0">
      <selection activeCell="B6" sqref="B6"/>
    </sheetView>
  </sheetViews>
  <sheetFormatPr defaultRowHeight="14.6" x14ac:dyDescent="0.4"/>
  <cols>
    <col min="1" max="1" width="12.69140625" bestFit="1" customWidth="1"/>
    <col min="2" max="2" width="21.15234375" bestFit="1" customWidth="1"/>
    <col min="3" max="3" width="22.15234375" bestFit="1" customWidth="1"/>
  </cols>
  <sheetData>
    <row r="1" spans="1:3" x14ac:dyDescent="0.4">
      <c r="A1" t="s">
        <v>3</v>
      </c>
      <c r="B1" t="s">
        <v>60</v>
      </c>
      <c r="C1" t="s">
        <v>61</v>
      </c>
    </row>
    <row r="2" spans="1:3" x14ac:dyDescent="0.4">
      <c r="A2" t="s">
        <v>62</v>
      </c>
      <c r="B2">
        <f>COUNTIFS(ticket!D:D, A2, ticket!F:F, "Yes")</f>
        <v>0</v>
      </c>
      <c r="C2">
        <f>COUNTIFS(ticket!D:D, A2, ticket!G:G, "Yes")</f>
        <v>0</v>
      </c>
    </row>
    <row r="3" spans="1:3" x14ac:dyDescent="0.4">
      <c r="A3" t="s">
        <v>63</v>
      </c>
      <c r="B3">
        <f>COUNTIFS(ticket!D:D, A3, ticket!F:F, "Yes")</f>
        <v>0</v>
      </c>
      <c r="C3">
        <f>COUNTIFS(ticket!D:D, A3, ticket!G:G, "Yes")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Durgpapu</dc:creator>
  <cp:lastModifiedBy>Adithya Durgpapu</cp:lastModifiedBy>
  <dcterms:created xsi:type="dcterms:W3CDTF">2025-12-02T21:07:56Z</dcterms:created>
  <dcterms:modified xsi:type="dcterms:W3CDTF">2025-12-02T21:58:50Z</dcterms:modified>
</cp:coreProperties>
</file>